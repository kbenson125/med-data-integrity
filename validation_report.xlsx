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tiebenson/med-data-integrity/reports/"/>
    </mc:Choice>
  </mc:AlternateContent>
  <xr:revisionPtr revIDLastSave="0" documentId="13_ncr:1_{EDE969DA-6FA2-8B44-8FAF-3F1E82201529}" xr6:coauthVersionLast="47" xr6:coauthVersionMax="47" xr10:uidLastSave="{00000000-0000-0000-0000-000000000000}"/>
  <bookViews>
    <workbookView xWindow="35840" yWindow="0" windowWidth="51200" windowHeight="28800" activeTab="3" xr2:uid="{00000000-000D-0000-FFFF-FFFF00000000}"/>
  </bookViews>
  <sheets>
    <sheet name="Missing Usage" sheetId="1" r:id="rId1"/>
    <sheet name="Inventory vs Purchases" sheetId="2" r:id="rId2"/>
    <sheet name="Overused Medications" sheetId="3" r:id="rId3"/>
    <sheet name="Dashboard" sheetId="4" r:id="rId4"/>
  </sheets>
  <definedNames>
    <definedName name="_xlchart.v1.0" hidden="1">'Overused Medications'!$B$2:$B$7</definedName>
    <definedName name="_xlchart.v1.1" hidden="1">'Overused Medications'!$C$1</definedName>
    <definedName name="_xlchart.v1.2" hidden="1">'Overused Medications'!$C$2:$C$7</definedName>
    <definedName name="_xlchart.v1.3" hidden="1">'Overused Medications'!$D$1</definedName>
    <definedName name="_xlchart.v1.4" hidden="1">'Overused Medications'!$D$2:$D$7</definedName>
    <definedName name="_xlchart.v1.5" hidden="1">'Overused Medications'!$E$1</definedName>
    <definedName name="_xlchart.v1.6" hidden="1">'Overused Medications'!$E$2:$E$7</definedName>
    <definedName name="_xlchart.v2.10" hidden="1">'Overused Medications'!$D$1</definedName>
    <definedName name="_xlchart.v2.11" hidden="1">'Overused Medications'!$D$2:$D$7</definedName>
    <definedName name="_xlchart.v2.12" hidden="1">'Overused Medications'!$E$1</definedName>
    <definedName name="_xlchart.v2.13" hidden="1">'Overused Medications'!$E$2:$E$7</definedName>
    <definedName name="_xlchart.v2.7" hidden="1">'Overused Medications'!$B$2:$B$7</definedName>
    <definedName name="_xlchart.v2.8" hidden="1">'Overused Medications'!$C$1</definedName>
    <definedName name="_xlchart.v2.9" hidden="1">'Overused Medications'!$C$2:$C$7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D2" i="4"/>
  <c r="C2" i="4"/>
  <c r="B2" i="4"/>
  <c r="A2" i="4"/>
</calcChain>
</file>

<file path=xl/sharedStrings.xml><?xml version="1.0" encoding="utf-8"?>
<sst xmlns="http://schemas.openxmlformats.org/spreadsheetml/2006/main" count="45" uniqueCount="28">
  <si>
    <t>med_id</t>
  </si>
  <si>
    <t>med_name</t>
  </si>
  <si>
    <t>quantity</t>
  </si>
  <si>
    <t>location</t>
  </si>
  <si>
    <t>Heparin</t>
  </si>
  <si>
    <t>ER</t>
  </si>
  <si>
    <t>current_inventory</t>
  </si>
  <si>
    <t>total_purchased</t>
  </si>
  <si>
    <t>Morphine</t>
  </si>
  <si>
    <t>Insulin</t>
  </si>
  <si>
    <t>Fentanyl</t>
  </si>
  <si>
    <t>Total Medications</t>
  </si>
  <si>
    <t>Medications Missing Usage</t>
  </si>
  <si>
    <t>Overused Medications</t>
  </si>
  <si>
    <t>Total Inventory</t>
  </si>
  <si>
    <t>Total Purchased</t>
  </si>
  <si>
    <t>standard_daily_limit</t>
  </si>
  <si>
    <t>avg_daily_usage</t>
  </si>
  <si>
    <t>overuse_amount</t>
  </si>
  <si>
    <t>risk_level</t>
  </si>
  <si>
    <t>High</t>
  </si>
  <si>
    <t>Medium</t>
  </si>
  <si>
    <t>Oxycodone</t>
  </si>
  <si>
    <t>Midazolam</t>
  </si>
  <si>
    <t>Low</t>
  </si>
  <si>
    <t>ICU</t>
  </si>
  <si>
    <t>Surgery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</si>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</sst>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Missing</a:t>
            </a:r>
            <a:r>
              <a:rPr lang="en-US" baseline="0"/>
              <a:t> Q</a:t>
            </a:r>
            <a:r>
              <a:rPr lang="en-US"/>
              <a:t>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'Missing Usage'!$C$1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'Missing Usage'!$B$2:$B$6</c:f>
              <c:strCache>
                <c:ptCount val="5"/>
                <c:pt idx="0">
                  <c:v>Heparin</c:v>
                </c:pt>
                <c:pt idx="1">
                  <c:v>Heparin</c:v>
                </c:pt>
                <c:pt idx="2">
                  <c:v>Insulin</c:v>
                </c:pt>
                <c:pt idx="3">
                  <c:v>Fentanyl</c:v>
                </c:pt>
                <c:pt idx="4">
                  <c:v>Morphine</c:v>
                </c:pt>
              </c:strCache>
            </c:strRef>
          </c:cat>
          <c:val>
            <c:numRef>
              <c:f>'Missing Usage'!$C$2:$C$6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40</c:v>
                </c:pt>
                <c:pt idx="3">
                  <c:v>25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7-B84B-9B4F-FEB89213E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541999"/>
        <c:axId val="1045588303"/>
      </c:barChart>
      <c:catAx>
        <c:axId val="10455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88303"/>
        <c:crosses val="autoZero"/>
        <c:auto val="1"/>
        <c:lblAlgn val="ctr"/>
        <c:lblOffset val="100"/>
        <c:noMultiLvlLbl val="0"/>
      </c:catAx>
      <c:valAx>
        <c:axId val="10455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4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vs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'Inventory vs Purchases'!$C$1</c:f>
              <c:strCache>
                <c:ptCount val="1"/>
                <c:pt idx="0">
                  <c:v>current_inventory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'Inventory vs Purchases'!$B$2:$B$5</c:f>
              <c:strCache>
                <c:ptCount val="4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</c:strCache>
            </c:strRef>
          </c:cat>
          <c:val>
            <c:numRef>
              <c:f>'Inventory vs Purchases'!$C$2:$C$5</c:f>
              <c:numCache>
                <c:formatCode>General</c:formatCode>
                <c:ptCount val="4"/>
                <c:pt idx="0">
                  <c:v>120</c:v>
                </c:pt>
                <c:pt idx="1">
                  <c:v>200</c:v>
                </c:pt>
                <c:pt idx="2">
                  <c:v>80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4-5048-AD79-36FCD9E81240}"/>
            </c:ext>
          </c:extLst>
        </c:ser>
        <c:ser>
          <c:idx val="1"/>
          <c:order val="1"/>
          <c:tx>
            <c:strRef>
              <c:f>'Inventory vs Purchases'!$D$1</c:f>
              <c:strCache>
                <c:ptCount val="1"/>
                <c:pt idx="0">
                  <c:v>total_purchased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'Inventory vs Purchases'!$B$2:$B$5</c:f>
              <c:strCache>
                <c:ptCount val="4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</c:strCache>
            </c:strRef>
          </c:cat>
          <c:val>
            <c:numRef>
              <c:f>'Inventory vs Purchases'!$D$2:$D$5</c:f>
              <c:numCache>
                <c:formatCode>General</c:formatCode>
                <c:ptCount val="4"/>
                <c:pt idx="0">
                  <c:v>500</c:v>
                </c:pt>
                <c:pt idx="1">
                  <c:v>259</c:v>
                </c:pt>
                <c:pt idx="2">
                  <c:v>120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4-5048-AD79-36FCD9E81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5497103"/>
        <c:axId val="775498815"/>
      </c:barChart>
      <c:catAx>
        <c:axId val="77549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98815"/>
        <c:crosses val="autoZero"/>
        <c:auto val="1"/>
        <c:lblAlgn val="ctr"/>
        <c:lblOffset val="100"/>
        <c:noMultiLvlLbl val="0"/>
      </c:catAx>
      <c:valAx>
        <c:axId val="77549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9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Overused Medications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'Overused Medications'!$C$1</c:f>
              <c:strCache>
                <c:ptCount val="1"/>
                <c:pt idx="0">
                  <c:v>standard_daily_limit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'Overused Medications'!$B$2:$B$7</c:f>
              <c:strCache>
                <c:ptCount val="6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  <c:pt idx="4">
                  <c:v>Oxycodone</c:v>
                </c:pt>
                <c:pt idx="5">
                  <c:v>Midazolam</c:v>
                </c:pt>
              </c:strCache>
            </c:strRef>
          </c:cat>
          <c:val>
            <c:numRef>
              <c:f>'Overused Medications'!$C$2:$C$7</c:f>
              <c:numCache>
                <c:formatCode>General</c:formatCode>
                <c:ptCount val="6"/>
                <c:pt idx="0">
                  <c:v>60</c:v>
                </c:pt>
                <c:pt idx="1">
                  <c:v>180</c:v>
                </c:pt>
                <c:pt idx="2">
                  <c:v>75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1-BC4F-B5F5-D0B817933E1A}"/>
            </c:ext>
          </c:extLst>
        </c:ser>
        <c:ser>
          <c:idx val="1"/>
          <c:order val="1"/>
          <c:tx>
            <c:strRef>
              <c:f>'Overused Medications'!$D$1</c:f>
              <c:strCache>
                <c:ptCount val="1"/>
                <c:pt idx="0">
                  <c:v>avg_daily_usage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'Overused Medications'!$B$2:$B$7</c:f>
              <c:strCache>
                <c:ptCount val="6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  <c:pt idx="4">
                  <c:v>Oxycodone</c:v>
                </c:pt>
                <c:pt idx="5">
                  <c:v>Midazolam</c:v>
                </c:pt>
              </c:strCache>
            </c:strRef>
          </c:cat>
          <c:val>
            <c:numRef>
              <c:f>'Overused Medications'!$D$2:$D$7</c:f>
              <c:numCache>
                <c:formatCode>General</c:formatCode>
                <c:ptCount val="6"/>
                <c:pt idx="0">
                  <c:v>95</c:v>
                </c:pt>
                <c:pt idx="1">
                  <c:v>210</c:v>
                </c:pt>
                <c:pt idx="2">
                  <c:v>120</c:v>
                </c:pt>
                <c:pt idx="3">
                  <c:v>78</c:v>
                </c:pt>
                <c:pt idx="4">
                  <c:v>65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51-BC4F-B5F5-D0B817933E1A}"/>
            </c:ext>
          </c:extLst>
        </c:ser>
        <c:ser>
          <c:idx val="2"/>
          <c:order val="2"/>
          <c:tx>
            <c:strRef>
              <c:f>'Overused Medications'!$E$1</c:f>
              <c:strCache>
                <c:ptCount val="1"/>
                <c:pt idx="0">
                  <c:v>overuse_amount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'Overused Medications'!$B$2:$B$7</c:f>
              <c:strCache>
                <c:ptCount val="6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  <c:pt idx="4">
                  <c:v>Oxycodone</c:v>
                </c:pt>
                <c:pt idx="5">
                  <c:v>Midazolam</c:v>
                </c:pt>
              </c:strCache>
            </c:strRef>
          </c:cat>
          <c:val>
            <c:numRef>
              <c:f>'Overused Medications'!$E$2:$E$7</c:f>
              <c:numCache>
                <c:formatCode>General</c:formatCode>
                <c:ptCount val="6"/>
                <c:pt idx="0">
                  <c:v>35</c:v>
                </c:pt>
                <c:pt idx="1">
                  <c:v>30</c:v>
                </c:pt>
                <c:pt idx="2">
                  <c:v>45</c:v>
                </c:pt>
                <c:pt idx="3">
                  <c:v>28</c:v>
                </c:pt>
                <c:pt idx="4">
                  <c:v>25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51-BC4F-B5F5-D0B817933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404367"/>
        <c:axId val="1327170655"/>
      </c:barChart>
      <c:catAx>
        <c:axId val="101240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70655"/>
        <c:crosses val="autoZero"/>
        <c:auto val="1"/>
        <c:lblAlgn val="ctr"/>
        <c:lblOffset val="100"/>
        <c:noMultiLvlLbl val="0"/>
      </c:catAx>
      <c:valAx>
        <c:axId val="132717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0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Missing</a:t>
            </a:r>
            <a:r>
              <a:rPr lang="en-US" baseline="0"/>
              <a:t> Q</a:t>
            </a:r>
            <a:r>
              <a:rPr lang="en-US"/>
              <a:t>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'Missing Usage'!$C$1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'Missing Usage'!$B$2:$B$6</c:f>
              <c:strCache>
                <c:ptCount val="5"/>
                <c:pt idx="0">
                  <c:v>Heparin</c:v>
                </c:pt>
                <c:pt idx="1">
                  <c:v>Heparin</c:v>
                </c:pt>
                <c:pt idx="2">
                  <c:v>Insulin</c:v>
                </c:pt>
                <c:pt idx="3">
                  <c:v>Fentanyl</c:v>
                </c:pt>
                <c:pt idx="4">
                  <c:v>Morphine</c:v>
                </c:pt>
              </c:strCache>
            </c:strRef>
          </c:cat>
          <c:val>
            <c:numRef>
              <c:f>'Missing Usage'!$C$2:$C$6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40</c:v>
                </c:pt>
                <c:pt idx="3">
                  <c:v>25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B-914B-88B2-B8E635B44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541999"/>
        <c:axId val="1045588303"/>
      </c:barChart>
      <c:catAx>
        <c:axId val="10455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88303"/>
        <c:crosses val="autoZero"/>
        <c:auto val="1"/>
        <c:lblAlgn val="ctr"/>
        <c:lblOffset val="100"/>
        <c:noMultiLvlLbl val="0"/>
      </c:catAx>
      <c:valAx>
        <c:axId val="10455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4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vs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'Inventory vs Purchases'!$C$1</c:f>
              <c:strCache>
                <c:ptCount val="1"/>
                <c:pt idx="0">
                  <c:v>current_inventory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'Inventory vs Purchases'!$B$2:$B$5</c:f>
              <c:strCache>
                <c:ptCount val="4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</c:strCache>
            </c:strRef>
          </c:cat>
          <c:val>
            <c:numRef>
              <c:f>'Inventory vs Purchases'!$C$2:$C$5</c:f>
              <c:numCache>
                <c:formatCode>General</c:formatCode>
                <c:ptCount val="4"/>
                <c:pt idx="0">
                  <c:v>120</c:v>
                </c:pt>
                <c:pt idx="1">
                  <c:v>200</c:v>
                </c:pt>
                <c:pt idx="2">
                  <c:v>80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F-CA49-9327-59A0A0CD180D}"/>
            </c:ext>
          </c:extLst>
        </c:ser>
        <c:ser>
          <c:idx val="1"/>
          <c:order val="1"/>
          <c:tx>
            <c:strRef>
              <c:f>'Inventory vs Purchases'!$D$1</c:f>
              <c:strCache>
                <c:ptCount val="1"/>
                <c:pt idx="0">
                  <c:v>total_purchased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'Inventory vs Purchases'!$B$2:$B$5</c:f>
              <c:strCache>
                <c:ptCount val="4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</c:strCache>
            </c:strRef>
          </c:cat>
          <c:val>
            <c:numRef>
              <c:f>'Inventory vs Purchases'!$D$2:$D$5</c:f>
              <c:numCache>
                <c:formatCode>General</c:formatCode>
                <c:ptCount val="4"/>
                <c:pt idx="0">
                  <c:v>500</c:v>
                </c:pt>
                <c:pt idx="1">
                  <c:v>259</c:v>
                </c:pt>
                <c:pt idx="2">
                  <c:v>120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F-CA49-9327-59A0A0CD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5497103"/>
        <c:axId val="775498815"/>
      </c:barChart>
      <c:catAx>
        <c:axId val="77549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98815"/>
        <c:crosses val="autoZero"/>
        <c:auto val="1"/>
        <c:lblAlgn val="ctr"/>
        <c:lblOffset val="100"/>
        <c:noMultiLvlLbl val="0"/>
      </c:catAx>
      <c:valAx>
        <c:axId val="77549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9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Overused Medications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'Overused Medications'!$C$1</c:f>
              <c:strCache>
                <c:ptCount val="1"/>
                <c:pt idx="0">
                  <c:v>standard_daily_limit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'Overused Medications'!$B$2:$B$7</c:f>
              <c:strCache>
                <c:ptCount val="6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  <c:pt idx="4">
                  <c:v>Oxycodone</c:v>
                </c:pt>
                <c:pt idx="5">
                  <c:v>Midazolam</c:v>
                </c:pt>
              </c:strCache>
            </c:strRef>
          </c:cat>
          <c:val>
            <c:numRef>
              <c:f>'Overused Medications'!$C$2:$C$7</c:f>
              <c:numCache>
                <c:formatCode>General</c:formatCode>
                <c:ptCount val="6"/>
                <c:pt idx="0">
                  <c:v>60</c:v>
                </c:pt>
                <c:pt idx="1">
                  <c:v>180</c:v>
                </c:pt>
                <c:pt idx="2">
                  <c:v>75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0-0241-8EAB-D1652D4FCA96}"/>
            </c:ext>
          </c:extLst>
        </c:ser>
        <c:ser>
          <c:idx val="1"/>
          <c:order val="1"/>
          <c:tx>
            <c:strRef>
              <c:f>'Overused Medications'!$D$1</c:f>
              <c:strCache>
                <c:ptCount val="1"/>
                <c:pt idx="0">
                  <c:v>avg_daily_usage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'Overused Medications'!$B$2:$B$7</c:f>
              <c:strCache>
                <c:ptCount val="6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  <c:pt idx="4">
                  <c:v>Oxycodone</c:v>
                </c:pt>
                <c:pt idx="5">
                  <c:v>Midazolam</c:v>
                </c:pt>
              </c:strCache>
            </c:strRef>
          </c:cat>
          <c:val>
            <c:numRef>
              <c:f>'Overused Medications'!$D$2:$D$7</c:f>
              <c:numCache>
                <c:formatCode>General</c:formatCode>
                <c:ptCount val="6"/>
                <c:pt idx="0">
                  <c:v>95</c:v>
                </c:pt>
                <c:pt idx="1">
                  <c:v>210</c:v>
                </c:pt>
                <c:pt idx="2">
                  <c:v>120</c:v>
                </c:pt>
                <c:pt idx="3">
                  <c:v>78</c:v>
                </c:pt>
                <c:pt idx="4">
                  <c:v>65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0-0241-8EAB-D1652D4FCA96}"/>
            </c:ext>
          </c:extLst>
        </c:ser>
        <c:ser>
          <c:idx val="2"/>
          <c:order val="2"/>
          <c:tx>
            <c:strRef>
              <c:f>'Overused Medications'!$E$1</c:f>
              <c:strCache>
                <c:ptCount val="1"/>
                <c:pt idx="0">
                  <c:v>overuse_amount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'Overused Medications'!$B$2:$B$7</c:f>
              <c:strCache>
                <c:ptCount val="6"/>
                <c:pt idx="0">
                  <c:v>Morphine</c:v>
                </c:pt>
                <c:pt idx="1">
                  <c:v>Insulin</c:v>
                </c:pt>
                <c:pt idx="2">
                  <c:v>Heparin</c:v>
                </c:pt>
                <c:pt idx="3">
                  <c:v>Fentanyl</c:v>
                </c:pt>
                <c:pt idx="4">
                  <c:v>Oxycodone</c:v>
                </c:pt>
                <c:pt idx="5">
                  <c:v>Midazolam</c:v>
                </c:pt>
              </c:strCache>
            </c:strRef>
          </c:cat>
          <c:val>
            <c:numRef>
              <c:f>'Overused Medications'!$E$2:$E$7</c:f>
              <c:numCache>
                <c:formatCode>General</c:formatCode>
                <c:ptCount val="6"/>
                <c:pt idx="0">
                  <c:v>35</c:v>
                </c:pt>
                <c:pt idx="1">
                  <c:v>30</c:v>
                </c:pt>
                <c:pt idx="2">
                  <c:v>45</c:v>
                </c:pt>
                <c:pt idx="3">
                  <c:v>28</c:v>
                </c:pt>
                <c:pt idx="4">
                  <c:v>25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80-0241-8EAB-D1652D4FC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404367"/>
        <c:axId val="1327170655"/>
      </c:barChart>
      <c:catAx>
        <c:axId val="101240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70655"/>
        <c:crosses val="autoZero"/>
        <c:auto val="1"/>
        <c:lblAlgn val="ctr"/>
        <c:lblOffset val="100"/>
        <c:noMultiLvlLbl val="0"/>
      </c:catAx>
      <c:valAx>
        <c:axId val="132717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0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12</xdr:row>
      <xdr:rowOff>57150</xdr:rowOff>
    </xdr:from>
    <xdr:to>
      <xdr:col>15</xdr:col>
      <xdr:colOff>171450</xdr:colOff>
      <xdr:row>30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409180-5D14-83F9-C023-BB6434CFF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8</xdr:row>
      <xdr:rowOff>146050</xdr:rowOff>
    </xdr:from>
    <xdr:to>
      <xdr:col>7</xdr:col>
      <xdr:colOff>31750</xdr:colOff>
      <xdr:row>23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E3D58-C2F2-F40C-7305-B41917DFE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12</xdr:row>
      <xdr:rowOff>57150</xdr:rowOff>
    </xdr:from>
    <xdr:to>
      <xdr:col>15</xdr:col>
      <xdr:colOff>171450</xdr:colOff>
      <xdr:row>35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3B6705-E653-E8B4-ACD1-4222A34CB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4</xdr:row>
      <xdr:rowOff>38100</xdr:rowOff>
    </xdr:from>
    <xdr:to>
      <xdr:col>2</xdr:col>
      <xdr:colOff>88900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9CBA8-5E8D-E840-A057-A8C24E2DA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774700</xdr:colOff>
      <xdr:row>4</xdr:row>
      <xdr:rowOff>50800</xdr:rowOff>
    </xdr:from>
    <xdr:to>
      <xdr:col>4</xdr:col>
      <xdr:colOff>1574800</xdr:colOff>
      <xdr:row>23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E491DB-237B-CC48-A0F5-E62405A82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25</xdr:row>
      <xdr:rowOff>139700</xdr:rowOff>
    </xdr:from>
    <xdr:to>
      <xdr:col>4</xdr:col>
      <xdr:colOff>1625600</xdr:colOff>
      <xdr:row>49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B9183C-4704-C848-8C3B-CEF73FD67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27" sqref="D27"/>
    </sheetView>
  </sheetViews>
  <sheetFormatPr baseColWidth="10" defaultColWidth="8.83203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103</v>
      </c>
      <c r="B2" t="s">
        <v>4</v>
      </c>
      <c r="C2">
        <v>80</v>
      </c>
      <c r="D2" t="s">
        <v>5</v>
      </c>
    </row>
    <row r="3" spans="1:4">
      <c r="A3" s="2">
        <v>103</v>
      </c>
      <c r="B3" s="2" t="s">
        <v>4</v>
      </c>
      <c r="C3" s="2">
        <v>80</v>
      </c>
      <c r="D3" s="2" t="s">
        <v>5</v>
      </c>
    </row>
    <row r="4" spans="1:4">
      <c r="A4" s="2">
        <v>102</v>
      </c>
      <c r="B4" s="2" t="s">
        <v>9</v>
      </c>
      <c r="C4" s="2">
        <v>40</v>
      </c>
      <c r="D4" s="2" t="s">
        <v>25</v>
      </c>
    </row>
    <row r="5" spans="1:4">
      <c r="A5" s="2">
        <v>104</v>
      </c>
      <c r="B5" s="2" t="s">
        <v>10</v>
      </c>
      <c r="C5" s="2">
        <v>25</v>
      </c>
      <c r="D5" s="2" t="s">
        <v>26</v>
      </c>
    </row>
    <row r="6" spans="1:4">
      <c r="A6" s="2">
        <v>101</v>
      </c>
      <c r="B6" s="2" t="s">
        <v>8</v>
      </c>
      <c r="C6" s="2">
        <v>15</v>
      </c>
      <c r="D6" s="2" t="s">
        <v>27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K18" sqref="K18"/>
    </sheetView>
  </sheetViews>
  <sheetFormatPr baseColWidth="10" defaultColWidth="8.83203125" defaultRowHeight="15"/>
  <sheetData>
    <row r="1" spans="1:4">
      <c r="A1" t="s">
        <v>0</v>
      </c>
      <c r="B1" t="s">
        <v>1</v>
      </c>
      <c r="C1" t="s">
        <v>6</v>
      </c>
      <c r="D1" t="s">
        <v>7</v>
      </c>
    </row>
    <row r="2" spans="1:4">
      <c r="A2">
        <v>101</v>
      </c>
      <c r="B2" t="s">
        <v>8</v>
      </c>
      <c r="C2">
        <v>120</v>
      </c>
      <c r="D2">
        <v>500</v>
      </c>
    </row>
    <row r="3" spans="1:4">
      <c r="A3">
        <v>102</v>
      </c>
      <c r="B3" t="s">
        <v>9</v>
      </c>
      <c r="C3">
        <v>200</v>
      </c>
      <c r="D3">
        <v>259</v>
      </c>
    </row>
    <row r="4" spans="1:4">
      <c r="A4">
        <v>103</v>
      </c>
      <c r="B4" t="s">
        <v>4</v>
      </c>
      <c r="C4">
        <v>80</v>
      </c>
      <c r="D4">
        <v>120</v>
      </c>
    </row>
    <row r="5" spans="1:4">
      <c r="A5">
        <v>104</v>
      </c>
      <c r="B5" t="s">
        <v>10</v>
      </c>
      <c r="C5">
        <v>60</v>
      </c>
      <c r="D5">
        <v>75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T26" sqref="T26"/>
    </sheetView>
  </sheetViews>
  <sheetFormatPr baseColWidth="10" defaultColWidth="8.83203125" defaultRowHeight="15"/>
  <sheetData>
    <row r="1" spans="1:6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2">
        <v>101</v>
      </c>
      <c r="B2" s="2" t="s">
        <v>8</v>
      </c>
      <c r="C2" s="2">
        <v>60</v>
      </c>
      <c r="D2" s="2">
        <v>95</v>
      </c>
      <c r="E2" s="2">
        <v>35</v>
      </c>
      <c r="F2" s="2" t="s">
        <v>20</v>
      </c>
    </row>
    <row r="3" spans="1:6">
      <c r="A3" s="2">
        <v>102</v>
      </c>
      <c r="B3" s="2" t="s">
        <v>9</v>
      </c>
      <c r="C3" s="2">
        <v>180</v>
      </c>
      <c r="D3" s="2">
        <v>210</v>
      </c>
      <c r="E3" s="2">
        <v>30</v>
      </c>
      <c r="F3" s="2" t="s">
        <v>21</v>
      </c>
    </row>
    <row r="4" spans="1:6">
      <c r="A4" s="2">
        <v>103</v>
      </c>
      <c r="B4" s="2" t="s">
        <v>4</v>
      </c>
      <c r="C4" s="2">
        <v>75</v>
      </c>
      <c r="D4" s="2">
        <v>120</v>
      </c>
      <c r="E4" s="2">
        <v>45</v>
      </c>
      <c r="F4" s="2" t="s">
        <v>20</v>
      </c>
    </row>
    <row r="5" spans="1:6">
      <c r="A5" s="2">
        <v>104</v>
      </c>
      <c r="B5" s="2" t="s">
        <v>10</v>
      </c>
      <c r="C5" s="2">
        <v>50</v>
      </c>
      <c r="D5" s="2">
        <v>78</v>
      </c>
      <c r="E5" s="2">
        <v>28</v>
      </c>
      <c r="F5" s="2" t="s">
        <v>21</v>
      </c>
    </row>
    <row r="6" spans="1:6">
      <c r="A6" s="2">
        <v>105</v>
      </c>
      <c r="B6" s="2" t="s">
        <v>22</v>
      </c>
      <c r="C6" s="2">
        <v>40</v>
      </c>
      <c r="D6" s="2">
        <v>65</v>
      </c>
      <c r="E6" s="2">
        <v>25</v>
      </c>
      <c r="F6" s="2" t="s">
        <v>21</v>
      </c>
    </row>
    <row r="7" spans="1:6">
      <c r="A7" s="2">
        <v>106</v>
      </c>
      <c r="B7" s="2" t="s">
        <v>23</v>
      </c>
      <c r="C7" s="2">
        <v>30</v>
      </c>
      <c r="D7" s="2">
        <v>52</v>
      </c>
      <c r="E7" s="2">
        <v>22</v>
      </c>
      <c r="F7" s="2" t="s">
        <v>24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6E6A-0354-C042-9D77-E6967153F3CA}">
  <dimension ref="A1:E2"/>
  <sheetViews>
    <sheetView showGridLines="0" tabSelected="1" workbookViewId="0">
      <selection activeCell="H35" sqref="H35"/>
    </sheetView>
  </sheetViews>
  <sheetFormatPr baseColWidth="10" defaultRowHeight="15"/>
  <cols>
    <col min="1" max="1" width="27.1640625" bestFit="1" customWidth="1"/>
    <col min="2" max="2" width="40" bestFit="1" customWidth="1"/>
    <col min="3" max="3" width="33.33203125" bestFit="1" customWidth="1"/>
    <col min="4" max="4" width="23.1640625" bestFit="1" customWidth="1"/>
    <col min="5" max="5" width="24.1640625" bestFit="1" customWidth="1"/>
  </cols>
  <sheetData>
    <row r="1" spans="1:5" ht="26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29">
      <c r="A2" s="4">
        <f>COUNTA('Inventory vs Purchases'!A:A)-1</f>
        <v>4</v>
      </c>
      <c r="B2" s="5">
        <f>COUNTA('Missing Usage'!A:A)-1</f>
        <v>5</v>
      </c>
      <c r="C2" s="5">
        <f>COUNTA('Overused Medications'!A:A)-1</f>
        <v>6</v>
      </c>
      <c r="D2" s="5">
        <f>SUM('Inventory vs Purchases'!C:C)</f>
        <v>460</v>
      </c>
      <c r="E2" s="5">
        <f>SUM('Inventory vs Purchases'!D:D)</f>
        <v>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 Usage</vt:lpstr>
      <vt:lpstr>Inventory vs Purchases</vt:lpstr>
      <vt:lpstr>Overused Medications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Benson, Katie</cp:lastModifiedBy>
  <dcterms:created xsi:type="dcterms:W3CDTF">2026-02-16T18:08:12Z</dcterms:created>
  <dcterms:modified xsi:type="dcterms:W3CDTF">2026-02-17T18:39:00Z</dcterms:modified>
</cp:coreProperties>
</file>